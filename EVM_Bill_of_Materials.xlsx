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mrita Academics\SEM3 AIM\eoc\project\"/>
    </mc:Choice>
  </mc:AlternateContent>
  <xr:revisionPtr revIDLastSave="0" documentId="13_ncr:1_{322D51AB-8F6C-428B-A76F-2210A85AE77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EVM 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22" i="1" s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<sst xmlns="http://schemas.openxmlformats.org/spreadsheetml/2006/main" count="56" uniqueCount="47">
  <si>
    <t>Electronic Voting Machine - Bill of Materials</t>
  </si>
  <si>
    <t>Component</t>
  </si>
  <si>
    <t>Purpose</t>
  </si>
  <si>
    <t>Qty</t>
  </si>
  <si>
    <t>Unit Price (Rs)</t>
  </si>
  <si>
    <t>Subtotal (Rs)</t>
  </si>
  <si>
    <t>74LS193 (Binary Up/Down Counter)</t>
  </si>
  <si>
    <t>Vote tally register per candidate</t>
  </si>
  <si>
    <t>74LS74 (Dual D Flip-Flop)</t>
  </si>
  <si>
    <t>FSM state storage (idle/enabled/selected/locked)</t>
  </si>
  <si>
    <t>74LS00 (Quad NAND Gate)</t>
  </si>
  <si>
    <t>Debounce latch, lockout gating</t>
  </si>
  <si>
    <t>74LS148 (Priority Encoder)</t>
  </si>
  <si>
    <t>Candidate button to binary encoding</t>
  </si>
  <si>
    <t>74LS47 (BCD to 7-Segment Decoder/Driver)</t>
  </si>
  <si>
    <t>Drives display for candidate select and count mode</t>
  </si>
  <si>
    <t>Common-cathode 7-segment display</t>
  </si>
  <si>
    <t>Candidate number / vote count display</t>
  </si>
  <si>
    <t>Push buttons (tactile)</t>
  </si>
  <si>
    <t>Candidate select, voter enable</t>
  </si>
  <si>
    <t>Key/toggle switch (lockable)</t>
  </si>
  <si>
    <t>Admin count-mode access</t>
  </si>
  <si>
    <t>LEDs (5mm)</t>
  </si>
  <si>
    <t>Status/confirmation indicators</t>
  </si>
  <si>
    <t>Resistors (220 ohm, 1k ohm assorted)</t>
  </si>
  <si>
    <t>Current limiting, pull-downs</t>
  </si>
  <si>
    <t>Capacitors (0.1uF, for debounce)</t>
  </si>
  <si>
    <t>Debounce filtering</t>
  </si>
  <si>
    <t>Breadboard (full-size)</t>
  </si>
  <si>
    <t>Prototyping</t>
  </si>
  <si>
    <t>Perfboard</t>
  </si>
  <si>
    <t>Permanent assembly</t>
  </si>
  <si>
    <t>Jumper wires (M-M, M-F pack)</t>
  </si>
  <si>
    <t>Interconnects</t>
  </si>
  <si>
    <t>9V battery + connector / 5V adapter</t>
  </si>
  <si>
    <t>Power supply</t>
  </si>
  <si>
    <t>7805 voltage regulator</t>
  </si>
  <si>
    <t>Regulate to 5V for TTL logic</t>
  </si>
  <si>
    <t>Enclosure (acrylic sheet or box)</t>
  </si>
  <si>
    <t>Housing</t>
  </si>
  <si>
    <t>Soldering consumables (wire, flux)</t>
  </si>
  <si>
    <t>Assembly</t>
  </si>
  <si>
    <t>Total (Rs)</t>
  </si>
  <si>
    <t>need to buy</t>
  </si>
  <si>
    <t>buy at end</t>
  </si>
  <si>
    <t>doubtful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</si>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</sst>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4" fontId="5" fillId="3" borderId="1" xfId="0" applyNumberFormat="1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center"/>
    </xf>
    <xf numFmtId="4" fontId="3" fillId="5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4" fontId="3" fillId="6" borderId="1" xfId="0" applyNumberFormat="1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Normal="100" workbookViewId="0">
      <pane ySplit="3" topLeftCell="A6" activePane="bottomLeft" state="frozen"/>
      <selection pane="bottomLeft" activeCell="G21" sqref="G21"/>
    </sheetView>
  </sheetViews>
  <sheetFormatPr defaultColWidth="8.6640625" defaultRowHeight="14.4" x14ac:dyDescent="0.3"/>
  <cols>
    <col min="1" max="1" width="40" customWidth="1"/>
    <col min="2" max="2" width="45" customWidth="1"/>
    <col min="3" max="3" width="8" customWidth="1"/>
    <col min="4" max="5" width="16" customWidth="1"/>
    <col min="8" max="8" width="10.109375" customWidth="1"/>
  </cols>
  <sheetData>
    <row r="1" spans="1:8" ht="17.399999999999999" x14ac:dyDescent="0.3">
      <c r="A1" s="23" t="s">
        <v>0</v>
      </c>
      <c r="B1" s="23"/>
      <c r="C1" s="23"/>
      <c r="D1" s="23"/>
      <c r="E1" s="23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8" x14ac:dyDescent="0.3">
      <c r="A4" s="8" t="s">
        <v>6</v>
      </c>
      <c r="B4" s="8" t="s">
        <v>7</v>
      </c>
      <c r="C4" s="9">
        <v>4</v>
      </c>
      <c r="D4" s="10">
        <v>40</v>
      </c>
      <c r="E4" s="11">
        <f t="shared" ref="E4:E21" si="0">C4*D4</f>
        <v>160</v>
      </c>
      <c r="G4" s="20"/>
      <c r="H4" t="s">
        <v>43</v>
      </c>
    </row>
    <row r="5" spans="1:8" x14ac:dyDescent="0.3">
      <c r="A5" s="2" t="s">
        <v>8</v>
      </c>
      <c r="B5" s="2" t="s">
        <v>9</v>
      </c>
      <c r="C5" s="3">
        <v>2</v>
      </c>
      <c r="D5" s="4">
        <v>15</v>
      </c>
      <c r="E5" s="5">
        <f t="shared" si="0"/>
        <v>30</v>
      </c>
      <c r="F5" t="s">
        <v>46</v>
      </c>
      <c r="G5" s="21"/>
      <c r="H5" t="s">
        <v>44</v>
      </c>
    </row>
    <row r="6" spans="1:8" x14ac:dyDescent="0.3">
      <c r="A6" s="2" t="s">
        <v>10</v>
      </c>
      <c r="B6" s="2" t="s">
        <v>11</v>
      </c>
      <c r="C6" s="3">
        <v>3</v>
      </c>
      <c r="D6" s="4">
        <v>10</v>
      </c>
      <c r="E6" s="5">
        <f t="shared" si="0"/>
        <v>30</v>
      </c>
      <c r="F6" t="s">
        <v>46</v>
      </c>
      <c r="G6" s="22"/>
      <c r="H6" t="s">
        <v>45</v>
      </c>
    </row>
    <row r="7" spans="1:8" x14ac:dyDescent="0.3">
      <c r="A7" s="2" t="s">
        <v>12</v>
      </c>
      <c r="B7" s="2" t="s">
        <v>13</v>
      </c>
      <c r="C7" s="3">
        <v>1</v>
      </c>
      <c r="D7" s="4">
        <v>40</v>
      </c>
      <c r="E7" s="5">
        <f t="shared" si="0"/>
        <v>40</v>
      </c>
      <c r="F7" t="s">
        <v>46</v>
      </c>
    </row>
    <row r="8" spans="1:8" x14ac:dyDescent="0.3">
      <c r="A8" s="24" t="s">
        <v>14</v>
      </c>
      <c r="B8" s="24" t="s">
        <v>15</v>
      </c>
      <c r="C8" s="25">
        <v>2</v>
      </c>
      <c r="D8" s="26">
        <v>30</v>
      </c>
      <c r="E8" s="27">
        <f t="shared" si="0"/>
        <v>60</v>
      </c>
      <c r="F8" t="s">
        <v>46</v>
      </c>
    </row>
    <row r="9" spans="1:8" x14ac:dyDescent="0.3">
      <c r="A9" s="2" t="s">
        <v>16</v>
      </c>
      <c r="B9" s="2" t="s">
        <v>17</v>
      </c>
      <c r="C9" s="3">
        <v>2</v>
      </c>
      <c r="D9" s="4">
        <v>15</v>
      </c>
      <c r="E9" s="5">
        <f t="shared" si="0"/>
        <v>30</v>
      </c>
      <c r="F9" t="s">
        <v>46</v>
      </c>
    </row>
    <row r="10" spans="1:8" x14ac:dyDescent="0.3">
      <c r="A10" s="2" t="s">
        <v>18</v>
      </c>
      <c r="B10" s="2" t="s">
        <v>19</v>
      </c>
      <c r="C10" s="3">
        <v>6</v>
      </c>
      <c r="D10" s="4">
        <v>2</v>
      </c>
      <c r="E10" s="5">
        <f t="shared" si="0"/>
        <v>12</v>
      </c>
    </row>
    <row r="11" spans="1:8" x14ac:dyDescent="0.3">
      <c r="A11" s="8" t="s">
        <v>20</v>
      </c>
      <c r="B11" s="8" t="s">
        <v>21</v>
      </c>
      <c r="C11" s="9">
        <v>1</v>
      </c>
      <c r="D11" s="10">
        <v>40</v>
      </c>
      <c r="E11" s="11">
        <f t="shared" si="0"/>
        <v>40</v>
      </c>
    </row>
    <row r="12" spans="1:8" x14ac:dyDescent="0.3">
      <c r="A12" s="2" t="s">
        <v>22</v>
      </c>
      <c r="B12" s="2" t="s">
        <v>23</v>
      </c>
      <c r="C12" s="3">
        <v>6</v>
      </c>
      <c r="D12" s="4">
        <v>1</v>
      </c>
      <c r="E12" s="5">
        <f t="shared" si="0"/>
        <v>6</v>
      </c>
      <c r="F12" t="s">
        <v>46</v>
      </c>
    </row>
    <row r="13" spans="1:8" x14ac:dyDescent="0.3">
      <c r="A13" s="2" t="s">
        <v>24</v>
      </c>
      <c r="B13" s="2" t="s">
        <v>25</v>
      </c>
      <c r="C13" s="3">
        <v>20</v>
      </c>
      <c r="D13" s="4">
        <v>0.5</v>
      </c>
      <c r="E13" s="5">
        <f t="shared" si="0"/>
        <v>10</v>
      </c>
    </row>
    <row r="14" spans="1:8" x14ac:dyDescent="0.3">
      <c r="A14" s="2" t="s">
        <v>26</v>
      </c>
      <c r="B14" s="2" t="s">
        <v>27</v>
      </c>
      <c r="C14" s="3">
        <v>6</v>
      </c>
      <c r="D14" s="4">
        <v>1</v>
      </c>
      <c r="E14" s="5">
        <f t="shared" si="0"/>
        <v>6</v>
      </c>
    </row>
    <row r="15" spans="1:8" x14ac:dyDescent="0.3">
      <c r="A15" s="2" t="s">
        <v>28</v>
      </c>
      <c r="B15" s="2" t="s">
        <v>29</v>
      </c>
      <c r="C15" s="3">
        <v>2</v>
      </c>
      <c r="D15" s="4">
        <v>120</v>
      </c>
      <c r="E15" s="5">
        <f t="shared" si="0"/>
        <v>240</v>
      </c>
      <c r="F15" t="s">
        <v>46</v>
      </c>
    </row>
    <row r="16" spans="1:8" x14ac:dyDescent="0.3">
      <c r="A16" s="12" t="s">
        <v>30</v>
      </c>
      <c r="B16" s="12" t="s">
        <v>31</v>
      </c>
      <c r="C16" s="13">
        <v>1</v>
      </c>
      <c r="D16" s="14">
        <v>60</v>
      </c>
      <c r="E16" s="15">
        <f t="shared" si="0"/>
        <v>60</v>
      </c>
    </row>
    <row r="17" spans="1:6" x14ac:dyDescent="0.3">
      <c r="A17" s="2" t="s">
        <v>32</v>
      </c>
      <c r="B17" s="2" t="s">
        <v>33</v>
      </c>
      <c r="C17" s="3">
        <v>2</v>
      </c>
      <c r="D17" s="4">
        <v>60</v>
      </c>
      <c r="E17" s="5">
        <f t="shared" si="0"/>
        <v>120</v>
      </c>
      <c r="F17" t="s">
        <v>46</v>
      </c>
    </row>
    <row r="18" spans="1:6" x14ac:dyDescent="0.3">
      <c r="A18" s="2" t="s">
        <v>34</v>
      </c>
      <c r="B18" s="2" t="s">
        <v>35</v>
      </c>
      <c r="C18" s="3">
        <v>1</v>
      </c>
      <c r="D18" s="4">
        <v>80</v>
      </c>
      <c r="E18" s="5">
        <f t="shared" si="0"/>
        <v>80</v>
      </c>
      <c r="F18" t="s">
        <v>46</v>
      </c>
    </row>
    <row r="19" spans="1:6" x14ac:dyDescent="0.3">
      <c r="A19" s="2" t="s">
        <v>36</v>
      </c>
      <c r="B19" s="2" t="s">
        <v>37</v>
      </c>
      <c r="C19" s="3">
        <v>1</v>
      </c>
      <c r="D19" s="4">
        <v>15</v>
      </c>
      <c r="E19" s="5">
        <f t="shared" si="0"/>
        <v>15</v>
      </c>
      <c r="F19" t="s">
        <v>46</v>
      </c>
    </row>
    <row r="20" spans="1:6" x14ac:dyDescent="0.3">
      <c r="A20" s="16" t="s">
        <v>38</v>
      </c>
      <c r="B20" s="16" t="s">
        <v>39</v>
      </c>
      <c r="C20" s="17">
        <v>1</v>
      </c>
      <c r="D20" s="18">
        <v>200</v>
      </c>
      <c r="E20" s="19">
        <f t="shared" si="0"/>
        <v>200</v>
      </c>
    </row>
    <row r="21" spans="1:6" x14ac:dyDescent="0.3">
      <c r="A21" s="2" t="s">
        <v>40</v>
      </c>
      <c r="B21" s="2" t="s">
        <v>41</v>
      </c>
      <c r="C21" s="3">
        <v>1</v>
      </c>
      <c r="D21" s="4">
        <v>50</v>
      </c>
      <c r="E21" s="5">
        <f t="shared" si="0"/>
        <v>50</v>
      </c>
    </row>
    <row r="22" spans="1:6" x14ac:dyDescent="0.3">
      <c r="D22" s="6" t="s">
        <v>42</v>
      </c>
      <c r="E22" s="7">
        <f>SUM(E4:E21)</f>
        <v>1189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EVM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SRINATH BALAKRISHNAN</cp:lastModifiedBy>
  <cp:revision>0</cp:revision>
  <dcterms:created xsi:type="dcterms:W3CDTF">2026-07-31T04:06:37Z</dcterms:created>
  <dcterms:modified xsi:type="dcterms:W3CDTF">2026-08-12T17:16:16Z</dcterms:modified>
  <dc:language>en-US</dc:language>
</cp:coreProperties>
</file>